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0.0&quot;x&quot;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1A237E"/>
      <sz val="10"/>
    </font>
    <font>
      <name val="Arial"/>
      <i val="1"/>
      <color rgb="00757575"/>
      <sz val="8"/>
    </font>
    <font>
      <name val="Arial"/>
      <sz val="10"/>
    </font>
    <font>
      <name val="Arial"/>
      <b val="1"/>
      <sz val="11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3949AB"/>
        <bgColor rgb="003949AB"/>
      </patternFill>
    </fill>
    <fill>
      <patternFill patternType="solid">
        <fgColor rgb="00E8EAF6"/>
        <bgColor rgb="00E8EAF6"/>
      </patternFill>
    </fill>
    <fill>
      <patternFill patternType="solid">
        <fgColor rgb="00FFF9C4"/>
        <bgColor rgb="00FFF9C4"/>
      </patternFill>
    </fill>
    <fill>
      <patternFill patternType="solid">
        <fgColor rgb="00C8E6C9"/>
        <b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2" fillId="3" borderId="0" applyAlignment="1" pivotButton="0" quotePrefix="0" xfId="0">
      <alignment horizontal="left"/>
    </xf>
    <xf numFmtId="0" fontId="0" fillId="3" borderId="0" pivotButton="0" quotePrefix="0" xfId="0"/>
    <xf numFmtId="0" fontId="0" fillId="4" borderId="0" pivotButton="0" quotePrefix="0" xfId="0"/>
    <xf numFmtId="0" fontId="3" fillId="4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3" fontId="4" fillId="5" borderId="0" applyAlignment="1" pivotButton="0" quotePrefix="0" xfId="0">
      <alignment horizontal="center"/>
    </xf>
    <xf numFmtId="0" fontId="3" fillId="0" borderId="0" pivotButton="0" quotePrefix="0" xfId="0"/>
    <xf numFmtId="164" fontId="4" fillId="5" borderId="0" applyAlignment="1" pivotButton="0" quotePrefix="0" xfId="0">
      <alignment horizontal="center"/>
    </xf>
    <xf numFmtId="165" fontId="4" fillId="5" borderId="0" applyAlignment="1" pivotButton="0" quotePrefix="0" xfId="0">
      <alignment horizontal="center"/>
    </xf>
    <xf numFmtId="0" fontId="6" fillId="0" borderId="0" pivotButton="0" quotePrefix="0" xfId="0"/>
    <xf numFmtId="3" fontId="6" fillId="0" borderId="0" applyAlignment="1" pivotButton="0" quotePrefix="0" xfId="0">
      <alignment horizontal="center"/>
    </xf>
    <xf numFmtId="0" fontId="3" fillId="6" borderId="0" pivotButton="0" quotePrefix="0" xfId="0"/>
    <xf numFmtId="0" fontId="0" fillId="6" borderId="0" pivotButton="0" quotePrefix="0" xfId="0"/>
    <xf numFmtId="3" fontId="3" fillId="6" borderId="0" applyAlignment="1" pivotButton="0" quotePrefix="0" xfId="0">
      <alignment horizontal="center"/>
    </xf>
    <xf numFmtId="0" fontId="7" fillId="6" borderId="0" pivotButton="0" quotePrefix="0" xfId="0"/>
    <xf numFmtId="3" fontId="7" fillId="6" borderId="0" applyAlignment="1" pivotButton="0" quotePrefix="0" xfId="0">
      <alignment horizontal="center"/>
    </xf>
    <xf numFmtId="3" fontId="3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0" fontId="8" fillId="6" borderId="0" pivotButton="0" quotePrefix="0" xfId="0"/>
    <xf numFmtId="3" fontId="8" fillId="6" borderId="0" applyAlignment="1" pivotButton="0" quotePrefix="0" xfId="0">
      <alignment horizontal="center"/>
    </xf>
    <xf numFmtId="166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237E"/>
    <outlinePr summaryBelow="1" summaryRight="1"/>
    <pageSetUpPr/>
  </sheetPr>
  <dimension ref="A1:G150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VIA LABS + REALREAL GENUINE — P&amp;L MODEL</t>
        </is>
      </c>
      <c r="B1" s="2" t="n"/>
      <c r="C1" s="2" t="n"/>
      <c r="D1" s="2" t="n"/>
      <c r="E1" s="2" t="n"/>
      <c r="F1" s="2" t="n"/>
      <c r="G1" s="2" t="n"/>
    </row>
    <row r="2">
      <c r="A2" s="1" t="inlineStr">
        <is>
          <t>All yellow cells are editable — change them and everything updates</t>
        </is>
      </c>
      <c r="B2" s="2" t="n"/>
      <c r="C2" s="2" t="n"/>
      <c r="D2" s="2" t="n"/>
      <c r="E2" s="2" t="n"/>
      <c r="F2" s="2" t="n"/>
      <c r="G2" s="2" t="n"/>
    </row>
    <row r="4">
      <c r="A4" s="3" t="inlineStr">
        <is>
          <t>VIA LABS — ASSUMPTIONS</t>
        </is>
      </c>
      <c r="B4" s="4" t="n"/>
      <c r="C4" s="4" t="n"/>
      <c r="D4" s="4" t="n"/>
      <c r="E4" s="4" t="n"/>
      <c r="F4" s="4" t="n"/>
      <c r="G4" s="4" t="n"/>
    </row>
    <row r="5">
      <c r="A5" s="5" t="inlineStr"/>
      <c r="B5" s="5" t="inlineStr"/>
      <c r="C5" s="6" t="n">
        <v>2026</v>
      </c>
      <c r="D5" s="6" t="n">
        <v>2027</v>
      </c>
      <c r="E5" s="6" t="n">
        <v>2028</v>
      </c>
      <c r="F5" s="6" t="n">
        <v>2029</v>
      </c>
      <c r="G5" s="6" t="n">
        <v>2030</v>
      </c>
    </row>
    <row r="6">
      <c r="A6" s="7" t="inlineStr">
        <is>
          <t>Active Merchants</t>
        </is>
      </c>
      <c r="B6" s="8" t="inlineStr">
        <is>
          <t>Change these</t>
        </is>
      </c>
      <c r="C6" s="9" t="n">
        <v>75</v>
      </c>
      <c r="D6" s="9" t="n">
        <v>350</v>
      </c>
      <c r="E6" s="9" t="n">
        <v>1500</v>
      </c>
      <c r="F6" s="9" t="n">
        <v>5000</v>
      </c>
      <c r="G6" s="9" t="n">
        <v>15000</v>
      </c>
    </row>
    <row r="8">
      <c r="A8" s="10" t="inlineStr">
        <is>
          <t>Subscription Tier Pricing ($/month)</t>
        </is>
      </c>
    </row>
    <row r="9">
      <c r="A9" s="7" t="inlineStr">
        <is>
          <t>Growth tier price ($/mo)</t>
        </is>
      </c>
      <c r="B9" s="8" t="inlineStr"/>
      <c r="C9" s="9" t="n">
        <v>149</v>
      </c>
      <c r="D9" s="9" t="n">
        <v>149</v>
      </c>
      <c r="E9" s="9" t="n">
        <v>149</v>
      </c>
      <c r="F9" s="9" t="n">
        <v>149</v>
      </c>
      <c r="G9" s="9" t="n">
        <v>149</v>
      </c>
    </row>
    <row r="10">
      <c r="A10" s="7" t="inlineStr">
        <is>
          <t>Professional tier price ($/mo)</t>
        </is>
      </c>
      <c r="B10" s="8" t="inlineStr"/>
      <c r="C10" s="9" t="n">
        <v>499</v>
      </c>
      <c r="D10" s="9" t="n">
        <v>499</v>
      </c>
      <c r="E10" s="9" t="n">
        <v>499</v>
      </c>
      <c r="F10" s="9" t="n">
        <v>499</v>
      </c>
      <c r="G10" s="9" t="n">
        <v>499</v>
      </c>
    </row>
    <row r="11">
      <c r="A11" s="7" t="inlineStr">
        <is>
          <t>Enterprise tier price ($/mo)</t>
        </is>
      </c>
      <c r="B11" s="8" t="inlineStr"/>
      <c r="C11" s="9" t="n">
        <v>1499</v>
      </c>
      <c r="D11" s="9" t="n">
        <v>1499</v>
      </c>
      <c r="E11" s="9" t="n">
        <v>1499</v>
      </c>
      <c r="F11" s="9" t="n">
        <v>1499</v>
      </c>
      <c r="G11" s="9" t="n">
        <v>1499</v>
      </c>
    </row>
    <row r="13">
      <c r="A13" s="10" t="inlineStr">
        <is>
          <t>Subscription Mix (% of merchants on each tier)</t>
        </is>
      </c>
    </row>
    <row r="14">
      <c r="A14" s="7" t="inlineStr">
        <is>
          <t>Starter (Free) %</t>
        </is>
      </c>
      <c r="B14" s="8" t="inlineStr"/>
      <c r="C14" s="11" t="n">
        <v>0.5</v>
      </c>
      <c r="D14" s="11" t="n">
        <v>0.4</v>
      </c>
      <c r="E14" s="11" t="n">
        <v>0.3</v>
      </c>
      <c r="F14" s="11" t="n">
        <v>0.25</v>
      </c>
      <c r="G14" s="11" t="n">
        <v>0.2</v>
      </c>
    </row>
    <row r="15">
      <c r="A15" s="7" t="inlineStr">
        <is>
          <t>Growth %</t>
        </is>
      </c>
      <c r="B15" s="8" t="inlineStr"/>
      <c r="C15" s="11" t="n">
        <v>0.3</v>
      </c>
      <c r="D15" s="11" t="n">
        <v>0.3</v>
      </c>
      <c r="E15" s="11" t="n">
        <v>0.3</v>
      </c>
      <c r="F15" s="11" t="n">
        <v>0.3</v>
      </c>
      <c r="G15" s="11" t="n">
        <v>0.3</v>
      </c>
    </row>
    <row r="16">
      <c r="A16" s="7" t="inlineStr">
        <is>
          <t>Professional %</t>
        </is>
      </c>
      <c r="B16" s="8" t="inlineStr"/>
      <c r="C16" s="11" t="n">
        <v>0.15</v>
      </c>
      <c r="D16" s="11" t="n">
        <v>0.2</v>
      </c>
      <c r="E16" s="11" t="n">
        <v>0.25</v>
      </c>
      <c r="F16" s="11" t="n">
        <v>0.25</v>
      </c>
      <c r="G16" s="11" t="n">
        <v>0.25</v>
      </c>
    </row>
    <row r="17">
      <c r="A17" s="7" t="inlineStr">
        <is>
          <t>Enterprise %</t>
        </is>
      </c>
      <c r="B17" s="8" t="inlineStr"/>
      <c r="C17" s="11" t="n">
        <v>0.05</v>
      </c>
      <c r="D17" s="11" t="n">
        <v>0.1</v>
      </c>
      <c r="E17" s="11" t="n">
        <v>0.15</v>
      </c>
      <c r="F17" s="11" t="n">
        <v>0.2</v>
      </c>
      <c r="G17" s="11" t="n">
        <v>0.25</v>
      </c>
    </row>
    <row r="19">
      <c r="A19" s="10" t="inlineStr">
        <is>
          <t>Micro Fee Rates</t>
        </is>
      </c>
    </row>
    <row r="20">
      <c r="A20" s="7" t="inlineStr">
        <is>
          <t>Intent fee ($ per intent)</t>
        </is>
      </c>
      <c r="B20" s="8" t="inlineStr"/>
      <c r="C20" s="12" t="n">
        <v>0.005</v>
      </c>
      <c r="D20" s="12" t="n">
        <v>0.005</v>
      </c>
      <c r="E20" s="12" t="n">
        <v>0.005</v>
      </c>
      <c r="F20" s="12" t="n">
        <v>0.005</v>
      </c>
      <c r="G20" s="12" t="n">
        <v>0.005</v>
      </c>
    </row>
    <row r="21">
      <c r="A21" s="7" t="inlineStr">
        <is>
          <t>Quote fee ($ per quote)</t>
        </is>
      </c>
      <c r="B21" s="8" t="inlineStr"/>
      <c r="C21" s="12" t="n">
        <v>0.01</v>
      </c>
      <c r="D21" s="12" t="n">
        <v>0.01</v>
      </c>
      <c r="E21" s="12" t="n">
        <v>0.01</v>
      </c>
      <c r="F21" s="12" t="n">
        <v>0.01</v>
      </c>
      <c r="G21" s="12" t="n">
        <v>0.01</v>
      </c>
    </row>
    <row r="22">
      <c r="A22" s="7" t="inlineStr">
        <is>
          <t>Transaction fee (% of order)</t>
        </is>
      </c>
      <c r="B22" s="8" t="inlineStr"/>
      <c r="C22" s="11" t="n">
        <v>0.005</v>
      </c>
      <c r="D22" s="11" t="n">
        <v>0.005</v>
      </c>
      <c r="E22" s="11" t="n">
        <v>0.005</v>
      </c>
      <c r="F22" s="11" t="n">
        <v>0.005</v>
      </c>
      <c r="G22" s="11" t="n">
        <v>0.005</v>
      </c>
    </row>
    <row r="23">
      <c r="A23" s="7" t="inlineStr">
        <is>
          <t>Transaction fee cap ($)</t>
        </is>
      </c>
      <c r="B23" s="8" t="inlineStr"/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</row>
    <row r="25">
      <c r="A25" s="10" t="inlineStr">
        <is>
          <t>Transaction Volume Drivers</t>
        </is>
      </c>
    </row>
    <row r="26">
      <c r="A26" s="7" t="inlineStr">
        <is>
          <t>Intents per merchant per month</t>
        </is>
      </c>
      <c r="B26" s="8" t="inlineStr"/>
      <c r="C26" s="9" t="n">
        <v>200</v>
      </c>
      <c r="D26" s="9" t="n">
        <v>500</v>
      </c>
      <c r="E26" s="9" t="n">
        <v>800</v>
      </c>
      <c r="F26" s="9" t="n">
        <v>1200</v>
      </c>
      <c r="G26" s="9" t="n">
        <v>1800</v>
      </c>
    </row>
    <row r="27">
      <c r="A27" s="7" t="inlineStr">
        <is>
          <t>Quote rate (% of intents)</t>
        </is>
      </c>
      <c r="B27" s="8" t="inlineStr"/>
      <c r="C27" s="11" t="n">
        <v>0.4</v>
      </c>
      <c r="D27" s="11" t="n">
        <v>0.45</v>
      </c>
      <c r="E27" s="11" t="n">
        <v>0.5</v>
      </c>
      <c r="F27" s="11" t="n">
        <v>0.55</v>
      </c>
      <c r="G27" s="11" t="n">
        <v>0.6</v>
      </c>
    </row>
    <row r="28">
      <c r="A28" s="7" t="inlineStr">
        <is>
          <t>Conversion rate (% of quotes)</t>
        </is>
      </c>
      <c r="B28" s="8" t="inlineStr"/>
      <c r="C28" s="11" t="n">
        <v>0.1</v>
      </c>
      <c r="D28" s="11" t="n">
        <v>0.12</v>
      </c>
      <c r="E28" s="11" t="n">
        <v>0.15</v>
      </c>
      <c r="F28" s="11" t="n">
        <v>0.18</v>
      </c>
      <c r="G28" s="11" t="n">
        <v>0.2</v>
      </c>
    </row>
    <row r="29">
      <c r="A29" s="7" t="inlineStr">
        <is>
          <t>Average order value ($)</t>
        </is>
      </c>
      <c r="B29" s="8" t="inlineStr"/>
      <c r="C29" s="9" t="n">
        <v>85</v>
      </c>
      <c r="D29" s="9" t="n">
        <v>95</v>
      </c>
      <c r="E29" s="9" t="n">
        <v>110</v>
      </c>
      <c r="F29" s="9" t="n">
        <v>120</v>
      </c>
      <c r="G29" s="9" t="n">
        <v>130</v>
      </c>
    </row>
    <row r="31">
      <c r="A31" s="10" t="inlineStr">
        <is>
          <t>Agent Top-Up</t>
        </is>
      </c>
    </row>
    <row r="32">
      <c r="A32" s="7" t="inlineStr">
        <is>
          <t>Top-up volume ($)</t>
        </is>
      </c>
      <c r="B32" s="8" t="inlineStr"/>
      <c r="C32" s="9" t="n">
        <v>150000</v>
      </c>
      <c r="D32" s="9" t="n">
        <v>1200000</v>
      </c>
      <c r="E32" s="9" t="n">
        <v>8000000</v>
      </c>
      <c r="F32" s="9" t="n">
        <v>35000000</v>
      </c>
      <c r="G32" s="9" t="n">
        <v>120000000</v>
      </c>
    </row>
    <row r="33">
      <c r="A33" s="7" t="inlineStr">
        <is>
          <t>Top-up margin %</t>
        </is>
      </c>
      <c r="B33" s="8" t="inlineStr"/>
      <c r="C33" s="11" t="n">
        <v>0.025</v>
      </c>
      <c r="D33" s="11" t="n">
        <v>0.023</v>
      </c>
      <c r="E33" s="11" t="n">
        <v>0.02</v>
      </c>
      <c r="F33" s="11" t="n">
        <v>0.018</v>
      </c>
      <c r="G33" s="11" t="n">
        <v>0.015</v>
      </c>
    </row>
    <row r="35">
      <c r="A35" s="7" t="inlineStr">
        <is>
          <t>Via Labs COGS (% of revenue)</t>
        </is>
      </c>
      <c r="B35" s="8" t="inlineStr">
        <is>
          <t>Payment processing etc.</t>
        </is>
      </c>
      <c r="C35" s="11" t="n">
        <v>0.12</v>
      </c>
      <c r="D35" s="11" t="n">
        <v>0.12</v>
      </c>
      <c r="E35" s="11" t="n">
        <v>0.12</v>
      </c>
      <c r="F35" s="11" t="n">
        <v>0.12</v>
      </c>
      <c r="G35" s="11" t="n">
        <v>0.12</v>
      </c>
    </row>
    <row r="38">
      <c r="A38" s="3" t="inlineStr">
        <is>
          <t>REALREAL GENUINE — ASSUMPTIONS</t>
        </is>
      </c>
      <c r="B38" s="4" t="n"/>
      <c r="C38" s="4" t="n"/>
      <c r="D38" s="4" t="n"/>
      <c r="E38" s="4" t="n"/>
      <c r="F38" s="4" t="n"/>
      <c r="G38" s="4" t="n"/>
    </row>
    <row r="39">
      <c r="A39" s="5" t="inlineStr"/>
      <c r="B39" s="5" t="inlineStr"/>
      <c r="C39" s="6" t="n">
        <v>2026</v>
      </c>
      <c r="D39" s="6" t="n">
        <v>2027</v>
      </c>
      <c r="E39" s="6" t="n">
        <v>2028</v>
      </c>
      <c r="F39" s="6" t="n">
        <v>2029</v>
      </c>
      <c r="G39" s="6" t="n">
        <v>2030</v>
      </c>
    </row>
    <row r="40">
      <c r="A40" s="7" t="inlineStr">
        <is>
          <t>Total GMV ($)</t>
        </is>
      </c>
      <c r="B40" s="8" t="inlineStr"/>
      <c r="C40" s="9" t="n">
        <v>180000</v>
      </c>
      <c r="D40" s="9" t="n">
        <v>950000</v>
      </c>
      <c r="E40" s="9" t="n">
        <v>4500000</v>
      </c>
      <c r="F40" s="9" t="n">
        <v>15000000</v>
      </c>
      <c r="G40" s="9" t="n">
        <v>45000000</v>
      </c>
    </row>
    <row r="42">
      <c r="A42" s="10" t="inlineStr">
        <is>
          <t>Commission Tiers (% of GMV in each tier)</t>
        </is>
      </c>
    </row>
    <row r="43">
      <c r="A43" s="7" t="inlineStr">
        <is>
          <t>Tier 1 (under $100) — GMV share</t>
        </is>
      </c>
      <c r="B43" s="8" t="inlineStr"/>
      <c r="C43" s="11" t="n">
        <v>0.2</v>
      </c>
      <c r="D43" s="11" t="n">
        <v>0.15</v>
      </c>
      <c r="E43" s="11" t="n">
        <v>0.12</v>
      </c>
      <c r="F43" s="11" t="n">
        <v>0.1</v>
      </c>
      <c r="G43" s="11" t="n">
        <v>0.08</v>
      </c>
    </row>
    <row r="44">
      <c r="A44" s="7" t="inlineStr">
        <is>
          <t>Tier 1 commission rate</t>
        </is>
      </c>
      <c r="B44" s="8" t="inlineStr"/>
      <c r="C44" s="11" t="n">
        <v>0.1</v>
      </c>
      <c r="D44" s="11" t="n">
        <v>0.1</v>
      </c>
      <c r="E44" s="11" t="n">
        <v>0.1</v>
      </c>
      <c r="F44" s="11" t="n">
        <v>0.1</v>
      </c>
      <c r="G44" s="11" t="n">
        <v>0.1</v>
      </c>
    </row>
    <row r="45">
      <c r="A45" s="7" t="inlineStr">
        <is>
          <t>Tier 2 ($100–$500) — GMV share</t>
        </is>
      </c>
      <c r="B45" s="8" t="inlineStr"/>
      <c r="C45" s="11" t="n">
        <v>0.4</v>
      </c>
      <c r="D45" s="11" t="n">
        <v>0.35</v>
      </c>
      <c r="E45" s="11" t="n">
        <v>0.33</v>
      </c>
      <c r="F45" s="11" t="n">
        <v>0.3</v>
      </c>
      <c r="G45" s="11" t="n">
        <v>0.27</v>
      </c>
    </row>
    <row r="46">
      <c r="A46" s="7" t="inlineStr">
        <is>
          <t>Tier 2 commission rate</t>
        </is>
      </c>
      <c r="B46" s="8" t="inlineStr"/>
      <c r="C46" s="11" t="n">
        <v>0.07000000000000001</v>
      </c>
      <c r="D46" s="11" t="n">
        <v>0.07000000000000001</v>
      </c>
      <c r="E46" s="11" t="n">
        <v>0.07000000000000001</v>
      </c>
      <c r="F46" s="11" t="n">
        <v>0.07000000000000001</v>
      </c>
      <c r="G46" s="11" t="n">
        <v>0.07000000000000001</v>
      </c>
    </row>
    <row r="47">
      <c r="A47" s="7" t="inlineStr">
        <is>
          <t>Tier 3 ($500–$2,000) — GMV share</t>
        </is>
      </c>
      <c r="B47" s="8" t="inlineStr"/>
      <c r="C47" s="11" t="n">
        <v>0.3</v>
      </c>
      <c r="D47" s="11" t="n">
        <v>0.35</v>
      </c>
      <c r="E47" s="11" t="n">
        <v>0.35</v>
      </c>
      <c r="F47" s="11" t="n">
        <v>0.35</v>
      </c>
      <c r="G47" s="11" t="n">
        <v>0.35</v>
      </c>
    </row>
    <row r="48">
      <c r="A48" s="7" t="inlineStr">
        <is>
          <t>Tier 3 commission rate</t>
        </is>
      </c>
      <c r="B48" s="8" t="inlineStr"/>
      <c r="C48" s="11" t="n">
        <v>0.05</v>
      </c>
      <c r="D48" s="11" t="n">
        <v>0.05</v>
      </c>
      <c r="E48" s="11" t="n">
        <v>0.05</v>
      </c>
      <c r="F48" s="11" t="n">
        <v>0.05</v>
      </c>
      <c r="G48" s="11" t="n">
        <v>0.05</v>
      </c>
    </row>
    <row r="49">
      <c r="A49" s="7" t="inlineStr">
        <is>
          <t>Tier 4 ($2,000+) — GMV share</t>
        </is>
      </c>
      <c r="B49" s="8" t="inlineStr"/>
      <c r="C49" s="11" t="n">
        <v>0.1</v>
      </c>
      <c r="D49" s="11" t="n">
        <v>0.15</v>
      </c>
      <c r="E49" s="11" t="n">
        <v>0.2</v>
      </c>
      <c r="F49" s="11" t="n">
        <v>0.25</v>
      </c>
      <c r="G49" s="11" t="n">
        <v>0.3</v>
      </c>
    </row>
    <row r="50">
      <c r="A50" s="7" t="inlineStr">
        <is>
          <t>Tier 4 commission rate</t>
        </is>
      </c>
      <c r="B50" s="8" t="inlineStr"/>
      <c r="C50" s="11" t="n">
        <v>0.03</v>
      </c>
      <c r="D50" s="11" t="n">
        <v>0.03</v>
      </c>
      <c r="E50" s="11" t="n">
        <v>0.03</v>
      </c>
      <c r="F50" s="11" t="n">
        <v>0.03</v>
      </c>
      <c r="G50" s="11" t="n">
        <v>0.03</v>
      </c>
    </row>
    <row r="52">
      <c r="A52" s="7" t="inlineStr">
        <is>
          <t>Co-Creation Revenue ($)</t>
        </is>
      </c>
      <c r="B52" s="8" t="inlineStr"/>
      <c r="C52" s="9" t="n">
        <v>25000</v>
      </c>
      <c r="D52" s="9" t="n">
        <v>120000</v>
      </c>
      <c r="E52" s="9" t="n">
        <v>400000</v>
      </c>
      <c r="F52" s="9" t="n">
        <v>1000000</v>
      </c>
      <c r="G52" s="9" t="n">
        <v>2500000</v>
      </c>
    </row>
    <row r="53">
      <c r="A53" s="7" t="inlineStr">
        <is>
          <t>RRG COGS (% of revenue)</t>
        </is>
      </c>
      <c r="B53" s="8" t="inlineStr">
        <is>
          <t>Fulfillment, payments etc.</t>
        </is>
      </c>
      <c r="C53" s="11" t="n">
        <v>0.18</v>
      </c>
      <c r="D53" s="11" t="n">
        <v>0.18</v>
      </c>
      <c r="E53" s="11" t="n">
        <v>0.18</v>
      </c>
      <c r="F53" s="11" t="n">
        <v>0.18</v>
      </c>
      <c r="G53" s="11" t="n">
        <v>0.18</v>
      </c>
    </row>
    <row r="56">
      <c r="A56" s="3" t="inlineStr">
        <is>
          <t>OPERATING EXPENSES — ASSUMPTIONS</t>
        </is>
      </c>
      <c r="B56" s="4" t="n"/>
      <c r="C56" s="4" t="n"/>
      <c r="D56" s="4" t="n"/>
      <c r="E56" s="4" t="n"/>
      <c r="F56" s="4" t="n"/>
      <c r="G56" s="4" t="n"/>
    </row>
    <row r="57">
      <c r="A57" s="5" t="inlineStr"/>
      <c r="B57" s="5" t="inlineStr"/>
      <c r="C57" s="6" t="n">
        <v>2026</v>
      </c>
      <c r="D57" s="6" t="n">
        <v>2027</v>
      </c>
      <c r="E57" s="6" t="n">
        <v>2028</v>
      </c>
      <c r="F57" s="6" t="n">
        <v>2029</v>
      </c>
      <c r="G57" s="6" t="n">
        <v>2030</v>
      </c>
    </row>
    <row r="58">
      <c r="A58" s="10" t="inlineStr">
        <is>
          <t>Via Labs OpEx</t>
        </is>
      </c>
    </row>
    <row r="59">
      <c r="A59" s="7" t="inlineStr">
        <is>
          <t>Engineering &amp; Product</t>
        </is>
      </c>
      <c r="B59" s="8" t="inlineStr"/>
      <c r="C59" s="9" t="n">
        <v>720000</v>
      </c>
      <c r="D59" s="9" t="n">
        <v>1440000</v>
      </c>
      <c r="E59" s="9" t="n">
        <v>2400000</v>
      </c>
      <c r="F59" s="9" t="n">
        <v>3600000</v>
      </c>
      <c r="G59" s="9" t="n">
        <v>5000000</v>
      </c>
    </row>
    <row r="60">
      <c r="A60" s="7" t="inlineStr">
        <is>
          <t>Operations &amp; Admin</t>
        </is>
      </c>
      <c r="B60" s="8" t="inlineStr"/>
      <c r="C60" s="9" t="n">
        <v>180000</v>
      </c>
      <c r="D60" s="9" t="n">
        <v>360000</v>
      </c>
      <c r="E60" s="9" t="n">
        <v>600000</v>
      </c>
      <c r="F60" s="9" t="n">
        <v>900000</v>
      </c>
      <c r="G60" s="9" t="n">
        <v>1200000</v>
      </c>
    </row>
    <row r="61">
      <c r="A61" s="7" t="inlineStr">
        <is>
          <t>Sales &amp; Marketing</t>
        </is>
      </c>
      <c r="B61" s="8" t="inlineStr"/>
      <c r="C61" s="9" t="n">
        <v>200000</v>
      </c>
      <c r="D61" s="9" t="n">
        <v>500000</v>
      </c>
      <c r="E61" s="9" t="n">
        <v>1000000</v>
      </c>
      <c r="F61" s="9" t="n">
        <v>2000000</v>
      </c>
      <c r="G61" s="9" t="n">
        <v>3500000</v>
      </c>
    </row>
    <row r="62">
      <c r="A62" s="7" t="inlineStr">
        <is>
          <t>Infrastructure &amp; Cloud</t>
        </is>
      </c>
      <c r="B62" s="8" t="inlineStr"/>
      <c r="C62" s="9" t="n">
        <v>96000</v>
      </c>
      <c r="D62" s="9" t="n">
        <v>200000</v>
      </c>
      <c r="E62" s="9" t="n">
        <v>400000</v>
      </c>
      <c r="F62" s="9" t="n">
        <v>750000</v>
      </c>
      <c r="G62" s="9" t="n">
        <v>1200000</v>
      </c>
    </row>
    <row r="63">
      <c r="A63" s="7" t="inlineStr">
        <is>
          <t>Legal &amp; Compliance</t>
        </is>
      </c>
      <c r="B63" s="8" t="inlineStr"/>
      <c r="C63" s="9" t="n">
        <v>120000</v>
      </c>
      <c r="D63" s="9" t="n">
        <v>180000</v>
      </c>
      <c r="E63" s="9" t="n">
        <v>250000</v>
      </c>
      <c r="F63" s="9" t="n">
        <v>350000</v>
      </c>
      <c r="G63" s="9" t="n">
        <v>500000</v>
      </c>
    </row>
    <row r="64">
      <c r="A64" s="7" t="inlineStr">
        <is>
          <t>General &amp; Admin</t>
        </is>
      </c>
      <c r="B64" s="8" t="inlineStr"/>
      <c r="C64" s="9" t="n">
        <v>84000</v>
      </c>
      <c r="D64" s="9" t="n">
        <v>120000</v>
      </c>
      <c r="E64" s="9" t="n">
        <v>200000</v>
      </c>
      <c r="F64" s="9" t="n">
        <v>300000</v>
      </c>
      <c r="G64" s="9" t="n">
        <v>400000</v>
      </c>
    </row>
    <row r="66">
      <c r="A66" s="10" t="inlineStr">
        <is>
          <t>RealReal Genuine OpEx</t>
        </is>
      </c>
    </row>
    <row r="67">
      <c r="A67" s="7" t="inlineStr">
        <is>
          <t>Design &amp; Creative</t>
        </is>
      </c>
      <c r="B67" s="8" t="inlineStr"/>
      <c r="C67" s="9" t="n">
        <v>120000</v>
      </c>
      <c r="D67" s="9" t="n">
        <v>200000</v>
      </c>
      <c r="E67" s="9" t="n">
        <v>350000</v>
      </c>
      <c r="F67" s="9" t="n">
        <v>500000</v>
      </c>
      <c r="G67" s="9" t="n">
        <v>700000</v>
      </c>
    </row>
    <row r="68">
      <c r="A68" s="7" t="inlineStr">
        <is>
          <t>Brand Partnerships</t>
        </is>
      </c>
      <c r="B68" s="8" t="inlineStr"/>
      <c r="C68" s="9" t="n">
        <v>60000</v>
      </c>
      <c r="D68" s="9" t="n">
        <v>120000</v>
      </c>
      <c r="E68" s="9" t="n">
        <v>250000</v>
      </c>
      <c r="F68" s="9" t="n">
        <v>400000</v>
      </c>
      <c r="G68" s="9" t="n">
        <v>600000</v>
      </c>
    </row>
    <row r="69">
      <c r="A69" s="7" t="inlineStr">
        <is>
          <t>Marketing &amp; Community</t>
        </is>
      </c>
      <c r="B69" s="8" t="inlineStr"/>
      <c r="C69" s="9" t="n">
        <v>80000</v>
      </c>
      <c r="D69" s="9" t="n">
        <v>180000</v>
      </c>
      <c r="E69" s="9" t="n">
        <v>400000</v>
      </c>
      <c r="F69" s="9" t="n">
        <v>800000</v>
      </c>
      <c r="G69" s="9" t="n">
        <v>1500000</v>
      </c>
    </row>
    <row r="70">
      <c r="A70" s="7" t="inlineStr">
        <is>
          <t>Operations &amp; Fulfillment</t>
        </is>
      </c>
      <c r="B70" s="8" t="inlineStr"/>
      <c r="C70" s="9" t="n">
        <v>100000</v>
      </c>
      <c r="D70" s="9" t="n">
        <v>200000</v>
      </c>
      <c r="E70" s="9" t="n">
        <v>450000</v>
      </c>
      <c r="F70" s="9" t="n">
        <v>900000</v>
      </c>
      <c r="G70" s="9" t="n">
        <v>1800000</v>
      </c>
    </row>
    <row r="71">
      <c r="A71" s="7" t="inlineStr">
        <is>
          <t>Platform &amp; Tech</t>
        </is>
      </c>
      <c r="B71" s="8" t="inlineStr"/>
      <c r="C71" s="9" t="n">
        <v>40000</v>
      </c>
      <c r="D71" s="9" t="n">
        <v>80000</v>
      </c>
      <c r="E71" s="9" t="n">
        <v>150000</v>
      </c>
      <c r="F71" s="9" t="n">
        <v>250000</v>
      </c>
      <c r="G71" s="9" t="n">
        <v>400000</v>
      </c>
    </row>
    <row r="72">
      <c r="A72" s="7" t="inlineStr">
        <is>
          <t>General &amp; Admin</t>
        </is>
      </c>
      <c r="B72" s="8" t="inlineStr"/>
      <c r="C72" s="9" t="n">
        <v>50000</v>
      </c>
      <c r="D72" s="9" t="n">
        <v>70000</v>
      </c>
      <c r="E72" s="9" t="n">
        <v>100000</v>
      </c>
      <c r="F72" s="9" t="n">
        <v>150000</v>
      </c>
      <c r="G72" s="9" t="n">
        <v>250000</v>
      </c>
    </row>
    <row r="74">
      <c r="A74" s="7" t="inlineStr">
        <is>
          <t>Seed Raise Amount ($)</t>
        </is>
      </c>
      <c r="B74" s="8" t="inlineStr">
        <is>
          <t>Starting cash</t>
        </is>
      </c>
      <c r="C74" s="9" t="n">
        <v>5000000</v>
      </c>
      <c r="D74" s="9" t="n"/>
      <c r="E74" s="9" t="n"/>
      <c r="F74" s="9" t="n"/>
      <c r="G74" s="9" t="n"/>
    </row>
    <row r="77">
      <c r="A77" s="3" t="inlineStr">
        <is>
          <t>VIA LABS — P&amp;L (auto-calculated from assumptions above)</t>
        </is>
      </c>
      <c r="B77" s="4" t="n"/>
      <c r="C77" s="4" t="n"/>
      <c r="D77" s="4" t="n"/>
      <c r="E77" s="4" t="n"/>
      <c r="F77" s="4" t="n"/>
      <c r="G77" s="4" t="n"/>
    </row>
    <row r="78">
      <c r="A78" s="5" t="inlineStr"/>
      <c r="B78" s="5" t="inlineStr"/>
      <c r="C78" s="6" t="n">
        <v>2026</v>
      </c>
      <c r="D78" s="6" t="n">
        <v>2027</v>
      </c>
      <c r="E78" s="6" t="n">
        <v>2028</v>
      </c>
      <c r="F78" s="6" t="n">
        <v>2029</v>
      </c>
      <c r="G78" s="6" t="n">
        <v>2030</v>
      </c>
    </row>
    <row r="79">
      <c r="A79" s="13" t="inlineStr">
        <is>
          <t xml:space="preserve">  Growth Tier Revenue</t>
        </is>
      </c>
      <c r="C79" s="14">
        <f>C6*C15*C9*12</f>
        <v/>
      </c>
      <c r="D79" s="14">
        <f>D6*D15*D9*12</f>
        <v/>
      </c>
      <c r="E79" s="14">
        <f>E6*E15*E9*12</f>
        <v/>
      </c>
      <c r="F79" s="14">
        <f>F6*F15*F9*12</f>
        <v/>
      </c>
      <c r="G79" s="14">
        <f>G6*G15*G9*12</f>
        <v/>
      </c>
    </row>
    <row r="80">
      <c r="A80" s="13" t="inlineStr">
        <is>
          <t xml:space="preserve">  Professional Tier Revenue</t>
        </is>
      </c>
      <c r="C80" s="14">
        <f>C6*C16*C10*12</f>
        <v/>
      </c>
      <c r="D80" s="14">
        <f>D6*D16*D10*12</f>
        <v/>
      </c>
      <c r="E80" s="14">
        <f>E6*E16*E10*12</f>
        <v/>
      </c>
      <c r="F80" s="14">
        <f>F6*F16*F10*12</f>
        <v/>
      </c>
      <c r="G80" s="14">
        <f>G6*G16*G10*12</f>
        <v/>
      </c>
    </row>
    <row r="81">
      <c r="A81" s="13" t="inlineStr">
        <is>
          <t xml:space="preserve">  Enterprise Tier Revenue</t>
        </is>
      </c>
      <c r="C81" s="14">
        <f>C6*C17*C11*12</f>
        <v/>
      </c>
      <c r="D81" s="14">
        <f>D6*D17*D11*12</f>
        <v/>
      </c>
      <c r="E81" s="14">
        <f>E6*E17*E11*12</f>
        <v/>
      </c>
      <c r="F81" s="14">
        <f>F6*F17*F11*12</f>
        <v/>
      </c>
      <c r="G81" s="14">
        <f>G6*G17*G11*12</f>
        <v/>
      </c>
    </row>
    <row r="82">
      <c r="A82" s="15" t="inlineStr">
        <is>
          <t>Total Subscription Revenue</t>
        </is>
      </c>
      <c r="B82" s="16" t="n"/>
      <c r="C82" s="17">
        <f>C79+C80+C81</f>
        <v/>
      </c>
      <c r="D82" s="17">
        <f>D79+D80+D81</f>
        <v/>
      </c>
      <c r="E82" s="17">
        <f>E79+E80+E81</f>
        <v/>
      </c>
      <c r="F82" s="17">
        <f>F79+F80+F81</f>
        <v/>
      </c>
      <c r="G82" s="17">
        <f>G79+G80+G81</f>
        <v/>
      </c>
    </row>
    <row r="84">
      <c r="A84" s="13" t="inlineStr">
        <is>
          <t xml:space="preserve">  Total Intents (annual)</t>
        </is>
      </c>
      <c r="C84" s="14">
        <f>C6*C26*12</f>
        <v/>
      </c>
      <c r="D84" s="14">
        <f>D6*D26*12</f>
        <v/>
      </c>
      <c r="E84" s="14">
        <f>E6*E26*12</f>
        <v/>
      </c>
      <c r="F84" s="14">
        <f>F6*F26*12</f>
        <v/>
      </c>
      <c r="G84" s="14">
        <f>G6*G26*12</f>
        <v/>
      </c>
    </row>
    <row r="85">
      <c r="A85" s="13" t="inlineStr">
        <is>
          <t xml:space="preserve">  Total Quotes</t>
        </is>
      </c>
      <c r="C85" s="14">
        <f>C84*C27</f>
        <v/>
      </c>
      <c r="D85" s="14">
        <f>D84*D27</f>
        <v/>
      </c>
      <c r="E85" s="14">
        <f>E84*E27</f>
        <v/>
      </c>
      <c r="F85" s="14">
        <f>F84*F27</f>
        <v/>
      </c>
      <c r="G85" s="14">
        <f>G84*G27</f>
        <v/>
      </c>
    </row>
    <row r="86">
      <c r="A86" s="13" t="inlineStr">
        <is>
          <t xml:space="preserve">  Total Transactions</t>
        </is>
      </c>
      <c r="C86" s="14">
        <f>C85*C28</f>
        <v/>
      </c>
      <c r="D86" s="14">
        <f>D85*D28</f>
        <v/>
      </c>
      <c r="E86" s="14">
        <f>E85*E28</f>
        <v/>
      </c>
      <c r="F86" s="14">
        <f>F85*F28</f>
        <v/>
      </c>
      <c r="G86" s="14">
        <f>G85*G28</f>
        <v/>
      </c>
    </row>
    <row r="87">
      <c r="A87" s="13" t="inlineStr">
        <is>
          <t xml:space="preserve">  Platform GMV</t>
        </is>
      </c>
      <c r="C87" s="14">
        <f>C86*C29</f>
        <v/>
      </c>
      <c r="D87" s="14">
        <f>D86*D29</f>
        <v/>
      </c>
      <c r="E87" s="14">
        <f>E86*E29</f>
        <v/>
      </c>
      <c r="F87" s="14">
        <f>F86*F29</f>
        <v/>
      </c>
      <c r="G87" s="14">
        <f>G86*G29</f>
        <v/>
      </c>
    </row>
    <row r="89">
      <c r="A89" s="13" t="inlineStr">
        <is>
          <t xml:space="preserve">  Intent Fee Revenue</t>
        </is>
      </c>
      <c r="C89" s="14">
        <f>C84*C20</f>
        <v/>
      </c>
      <c r="D89" s="14">
        <f>D84*D20</f>
        <v/>
      </c>
      <c r="E89" s="14">
        <f>E84*E20</f>
        <v/>
      </c>
      <c r="F89" s="14">
        <f>F84*F20</f>
        <v/>
      </c>
      <c r="G89" s="14">
        <f>G84*G20</f>
        <v/>
      </c>
    </row>
    <row r="90">
      <c r="A90" s="13" t="inlineStr">
        <is>
          <t xml:space="preserve">  Quote Fee Revenue</t>
        </is>
      </c>
      <c r="C90" s="14">
        <f>C85*C21</f>
        <v/>
      </c>
      <c r="D90" s="14">
        <f>D85*D21</f>
        <v/>
      </c>
      <c r="E90" s="14">
        <f>E85*E21</f>
        <v/>
      </c>
      <c r="F90" s="14">
        <f>F85*F21</f>
        <v/>
      </c>
      <c r="G90" s="14">
        <f>G85*G21</f>
        <v/>
      </c>
    </row>
    <row r="91">
      <c r="A91" s="13" t="inlineStr">
        <is>
          <t xml:space="preserve">  Transaction Fee Revenue</t>
        </is>
      </c>
      <c r="C91" s="14">
        <f>MIN(C29*C22,C23)*C86</f>
        <v/>
      </c>
      <c r="D91" s="14">
        <f>MIN(D29*D22,D23)*D86</f>
        <v/>
      </c>
      <c r="E91" s="14">
        <f>MIN(E29*E22,E23)*E86</f>
        <v/>
      </c>
      <c r="F91" s="14">
        <f>MIN(F29*F22,F23)*F86</f>
        <v/>
      </c>
      <c r="G91" s="14">
        <f>MIN(G29*G22,G23)*G86</f>
        <v/>
      </c>
    </row>
    <row r="92">
      <c r="A92" s="15" t="inlineStr">
        <is>
          <t>Total Micro Fee Revenue</t>
        </is>
      </c>
      <c r="B92" s="16" t="n"/>
      <c r="C92" s="17">
        <f>C89+C90+C91</f>
        <v/>
      </c>
      <c r="D92" s="17">
        <f>D89+D90+D91</f>
        <v/>
      </c>
      <c r="E92" s="17">
        <f>E89+E90+E91</f>
        <v/>
      </c>
      <c r="F92" s="17">
        <f>F89+F90+F91</f>
        <v/>
      </c>
      <c r="G92" s="17">
        <f>G89+G90+G91</f>
        <v/>
      </c>
    </row>
    <row r="94">
      <c r="A94" s="15" t="inlineStr">
        <is>
          <t>Agent Top-Up Margin Revenue</t>
        </is>
      </c>
      <c r="B94" s="16" t="n"/>
      <c r="C94" s="17">
        <f>C32*C33</f>
        <v/>
      </c>
      <c r="D94" s="17">
        <f>D32*D33</f>
        <v/>
      </c>
      <c r="E94" s="17">
        <f>E32*E33</f>
        <v/>
      </c>
      <c r="F94" s="17">
        <f>F32*F33</f>
        <v/>
      </c>
      <c r="G94" s="17">
        <f>G32*G33</f>
        <v/>
      </c>
    </row>
    <row r="96">
      <c r="A96" s="18" t="inlineStr">
        <is>
          <t>VIA LABS TOTAL REVENUE</t>
        </is>
      </c>
      <c r="B96" s="16" t="n"/>
      <c r="C96" s="19">
        <f>C82+C92+C94</f>
        <v/>
      </c>
      <c r="D96" s="19">
        <f>D82+D92+D94</f>
        <v/>
      </c>
      <c r="E96" s="19">
        <f>E82+E92+E94</f>
        <v/>
      </c>
      <c r="F96" s="19">
        <f>F82+F92+F94</f>
        <v/>
      </c>
      <c r="G96" s="19">
        <f>G82+G92+G94</f>
        <v/>
      </c>
    </row>
    <row r="97">
      <c r="A97" s="13" t="inlineStr">
        <is>
          <t>Cost of Revenue</t>
        </is>
      </c>
      <c r="C97" s="14">
        <f>-C96*C35</f>
        <v/>
      </c>
      <c r="D97" s="14">
        <f>-D96*D35</f>
        <v/>
      </c>
      <c r="E97" s="14">
        <f>-E96*E35</f>
        <v/>
      </c>
      <c r="F97" s="14">
        <f>-F96*F35</f>
        <v/>
      </c>
      <c r="G97" s="14">
        <f>-G96*G35</f>
        <v/>
      </c>
    </row>
    <row r="98">
      <c r="A98" s="10" t="inlineStr">
        <is>
          <t>Gross Profit</t>
        </is>
      </c>
      <c r="C98" s="20">
        <f>C96+C97</f>
        <v/>
      </c>
      <c r="D98" s="20">
        <f>D96+D97</f>
        <v/>
      </c>
      <c r="E98" s="20">
        <f>E96+E97</f>
        <v/>
      </c>
      <c r="F98" s="20">
        <f>F96+F97</f>
        <v/>
      </c>
      <c r="G98" s="20">
        <f>G96+G97</f>
        <v/>
      </c>
    </row>
    <row r="99">
      <c r="A99" s="13" t="inlineStr">
        <is>
          <t>Gross Margin %</t>
        </is>
      </c>
      <c r="C99" s="21">
        <f>IF(C96=0,0,C98/C96)</f>
        <v/>
      </c>
      <c r="D99" s="21">
        <f>IF(D96=0,0,D98/D96)</f>
        <v/>
      </c>
      <c r="E99" s="21">
        <f>IF(E96=0,0,E98/E96)</f>
        <v/>
      </c>
      <c r="F99" s="21">
        <f>IF(F96=0,0,F98/F96)</f>
        <v/>
      </c>
      <c r="G99" s="21">
        <f>IF(G96=0,0,G98/G96)</f>
        <v/>
      </c>
    </row>
    <row r="101">
      <c r="A101" s="10" t="inlineStr">
        <is>
          <t>Total Operating Expenses</t>
        </is>
      </c>
      <c r="C101" s="20">
        <f>-(C59+C60+C61+C62+C63+C64)</f>
        <v/>
      </c>
      <c r="D101" s="20">
        <f>-(D59+D60+D61+D62+D63+D64)</f>
        <v/>
      </c>
      <c r="E101" s="20">
        <f>-(E59+E60+E61+E62+E63+E64)</f>
        <v/>
      </c>
      <c r="F101" s="20">
        <f>-(F59+F60+F61+F62+F63+F64)</f>
        <v/>
      </c>
      <c r="G101" s="20">
        <f>-(G59+G60+G61+G62+G63+G64)</f>
        <v/>
      </c>
    </row>
    <row r="102">
      <c r="A102" s="18" t="inlineStr">
        <is>
          <t>VIA LABS EBITDA</t>
        </is>
      </c>
      <c r="B102" s="16" t="n"/>
      <c r="C102" s="19">
        <f>C98+C101</f>
        <v/>
      </c>
      <c r="D102" s="19">
        <f>D98+D101</f>
        <v/>
      </c>
      <c r="E102" s="19">
        <f>E98+E101</f>
        <v/>
      </c>
      <c r="F102" s="19">
        <f>F98+F101</f>
        <v/>
      </c>
      <c r="G102" s="19">
        <f>G98+G101</f>
        <v/>
      </c>
    </row>
    <row r="103">
      <c r="A103" s="13" t="inlineStr">
        <is>
          <t>EBITDA Margin %</t>
        </is>
      </c>
      <c r="C103" s="21">
        <f>IF(C96=0,0,C102/C96)</f>
        <v/>
      </c>
      <c r="D103" s="21">
        <f>IF(D96=0,0,D102/D96)</f>
        <v/>
      </c>
      <c r="E103" s="21">
        <f>IF(E96=0,0,E102/E96)</f>
        <v/>
      </c>
      <c r="F103" s="21">
        <f>IF(F96=0,0,F102/F96)</f>
        <v/>
      </c>
      <c r="G103" s="21">
        <f>IF(G96=0,0,G102/G96)</f>
        <v/>
      </c>
    </row>
    <row r="106">
      <c r="A106" s="3" t="inlineStr">
        <is>
          <t>REALREAL GENUINE — P&amp;L (auto-calculated from assumptions above)</t>
        </is>
      </c>
      <c r="B106" s="4" t="n"/>
      <c r="C106" s="4" t="n"/>
      <c r="D106" s="4" t="n"/>
      <c r="E106" s="4" t="n"/>
      <c r="F106" s="4" t="n"/>
      <c r="G106" s="4" t="n"/>
    </row>
    <row r="107">
      <c r="A107" s="5" t="inlineStr"/>
      <c r="B107" s="5" t="inlineStr"/>
      <c r="C107" s="6" t="n">
        <v>2026</v>
      </c>
      <c r="D107" s="6" t="n">
        <v>2027</v>
      </c>
      <c r="E107" s="6" t="n">
        <v>2028</v>
      </c>
      <c r="F107" s="6" t="n">
        <v>2029</v>
      </c>
      <c r="G107" s="6" t="n">
        <v>2030</v>
      </c>
    </row>
    <row r="108">
      <c r="A108" s="13" t="inlineStr">
        <is>
          <t xml:space="preserve">  Tier 1 Commission (under $100)</t>
        </is>
      </c>
      <c r="C108" s="14">
        <f>C40*C43*C44</f>
        <v/>
      </c>
      <c r="D108" s="14">
        <f>D40*D43*D44</f>
        <v/>
      </c>
      <c r="E108" s="14">
        <f>E40*E43*E44</f>
        <v/>
      </c>
      <c r="F108" s="14">
        <f>F40*F43*F44</f>
        <v/>
      </c>
      <c r="G108" s="14">
        <f>G40*G43*G44</f>
        <v/>
      </c>
    </row>
    <row r="109">
      <c r="A109" s="13" t="inlineStr">
        <is>
          <t xml:space="preserve">  Tier 2 Commission ($100–$500)</t>
        </is>
      </c>
      <c r="C109" s="14">
        <f>C40*C45*C46</f>
        <v/>
      </c>
      <c r="D109" s="14">
        <f>D40*D45*D46</f>
        <v/>
      </c>
      <c r="E109" s="14">
        <f>E40*E45*E46</f>
        <v/>
      </c>
      <c r="F109" s="14">
        <f>F40*F45*F46</f>
        <v/>
      </c>
      <c r="G109" s="14">
        <f>G40*G45*G46</f>
        <v/>
      </c>
    </row>
    <row r="110">
      <c r="A110" s="13" t="inlineStr">
        <is>
          <t xml:space="preserve">  Tier 3 Commission ($500–$2K)</t>
        </is>
      </c>
      <c r="C110" s="14">
        <f>C40*C47*C48</f>
        <v/>
      </c>
      <c r="D110" s="14">
        <f>D40*D47*D48</f>
        <v/>
      </c>
      <c r="E110" s="14">
        <f>E40*E47*E48</f>
        <v/>
      </c>
      <c r="F110" s="14">
        <f>F40*F47*F48</f>
        <v/>
      </c>
      <c r="G110" s="14">
        <f>G40*G47*G48</f>
        <v/>
      </c>
    </row>
    <row r="111">
      <c r="A111" s="13" t="inlineStr">
        <is>
          <t xml:space="preserve">  Tier 4 Commission ($2K+)</t>
        </is>
      </c>
      <c r="C111" s="14">
        <f>C40*C49*C50</f>
        <v/>
      </c>
      <c r="D111" s="14">
        <f>D40*D49*D50</f>
        <v/>
      </c>
      <c r="E111" s="14">
        <f>E40*E49*E50</f>
        <v/>
      </c>
      <c r="F111" s="14">
        <f>F40*F49*F50</f>
        <v/>
      </c>
      <c r="G111" s="14">
        <f>G40*G49*G50</f>
        <v/>
      </c>
    </row>
    <row r="112">
      <c r="A112" s="15" t="inlineStr">
        <is>
          <t>Total Platform Commission</t>
        </is>
      </c>
      <c r="B112" s="16" t="n"/>
      <c r="C112" s="17">
        <f>C108+C109+C110+C111</f>
        <v/>
      </c>
      <c r="D112" s="17">
        <f>D108+D109+D110+D111</f>
        <v/>
      </c>
      <c r="E112" s="17">
        <f>E108+E109+E110+E111</f>
        <v/>
      </c>
      <c r="F112" s="17">
        <f>F108+F109+F110+F111</f>
        <v/>
      </c>
      <c r="G112" s="17">
        <f>G108+G109+G110+G111</f>
        <v/>
      </c>
    </row>
    <row r="113">
      <c r="A113" s="13" t="inlineStr">
        <is>
          <t>Blended Commission Rate</t>
        </is>
      </c>
      <c r="C113" s="21">
        <f>IF(C40=0,0,C112/C40)</f>
        <v/>
      </c>
      <c r="D113" s="21">
        <f>IF(D40=0,0,D112/D40)</f>
        <v/>
      </c>
      <c r="E113" s="21">
        <f>IF(E40=0,0,E112/E40)</f>
        <v/>
      </c>
      <c r="F113" s="21">
        <f>IF(F40=0,0,F112/F40)</f>
        <v/>
      </c>
      <c r="G113" s="21">
        <f>IF(G40=0,0,G112/G40)</f>
        <v/>
      </c>
    </row>
    <row r="115">
      <c r="A115" s="15" t="inlineStr">
        <is>
          <t>Co-Creation Revenue</t>
        </is>
      </c>
      <c r="B115" s="16" t="n"/>
      <c r="C115" s="17">
        <f>C52</f>
        <v/>
      </c>
      <c r="D115" s="17">
        <f>D52</f>
        <v/>
      </c>
      <c r="E115" s="17">
        <f>E52</f>
        <v/>
      </c>
      <c r="F115" s="17">
        <f>F52</f>
        <v/>
      </c>
      <c r="G115" s="17">
        <f>G52</f>
        <v/>
      </c>
    </row>
    <row r="117">
      <c r="A117" s="18" t="inlineStr">
        <is>
          <t>RRG TOTAL REVENUE</t>
        </is>
      </c>
      <c r="B117" s="16" t="n"/>
      <c r="C117" s="19">
        <f>C112+C115</f>
        <v/>
      </c>
      <c r="D117" s="19">
        <f>D112+D115</f>
        <v/>
      </c>
      <c r="E117" s="19">
        <f>E112+E115</f>
        <v/>
      </c>
      <c r="F117" s="19">
        <f>F112+F115</f>
        <v/>
      </c>
      <c r="G117" s="19">
        <f>G112+G115</f>
        <v/>
      </c>
    </row>
    <row r="118">
      <c r="A118" s="13" t="inlineStr">
        <is>
          <t>Cost of Revenue</t>
        </is>
      </c>
      <c r="C118" s="14">
        <f>-C117*C53</f>
        <v/>
      </c>
      <c r="D118" s="14">
        <f>-D117*D53</f>
        <v/>
      </c>
      <c r="E118" s="14">
        <f>-E117*E53</f>
        <v/>
      </c>
      <c r="F118" s="14">
        <f>-F117*F53</f>
        <v/>
      </c>
      <c r="G118" s="14">
        <f>-G117*G53</f>
        <v/>
      </c>
    </row>
    <row r="119">
      <c r="A119" s="10" t="inlineStr">
        <is>
          <t>Gross Profit</t>
        </is>
      </c>
      <c r="C119" s="20">
        <f>C117+C118</f>
        <v/>
      </c>
      <c r="D119" s="20">
        <f>D117+D118</f>
        <v/>
      </c>
      <c r="E119" s="20">
        <f>E117+E118</f>
        <v/>
      </c>
      <c r="F119" s="20">
        <f>F117+F118</f>
        <v/>
      </c>
      <c r="G119" s="20">
        <f>G117+G118</f>
        <v/>
      </c>
    </row>
    <row r="120">
      <c r="A120" s="13" t="inlineStr">
        <is>
          <t>Gross Margin %</t>
        </is>
      </c>
      <c r="C120" s="21">
        <f>IF(C117=0,0,C119/C117)</f>
        <v/>
      </c>
      <c r="D120" s="21">
        <f>IF(D117=0,0,D119/D117)</f>
        <v/>
      </c>
      <c r="E120" s="21">
        <f>IF(E117=0,0,E119/E117)</f>
        <v/>
      </c>
      <c r="F120" s="21">
        <f>IF(F117=0,0,F119/F117)</f>
        <v/>
      </c>
      <c r="G120" s="21">
        <f>IF(G117=0,0,G119/G117)</f>
        <v/>
      </c>
    </row>
    <row r="122">
      <c r="A122" s="10" t="inlineStr">
        <is>
          <t>Total Operating Expenses</t>
        </is>
      </c>
      <c r="C122" s="20">
        <f>-(C67+C68+C69+C70+C71+C72)</f>
        <v/>
      </c>
      <c r="D122" s="20">
        <f>-(D67+D68+D69+D70+D71+D72)</f>
        <v/>
      </c>
      <c r="E122" s="20">
        <f>-(E67+E68+E69+E70+E71+E72)</f>
        <v/>
      </c>
      <c r="F122" s="20">
        <f>-(F67+F68+F69+F70+F71+F72)</f>
        <v/>
      </c>
      <c r="G122" s="20">
        <f>-(G67+G68+G69+G70+G71+G72)</f>
        <v/>
      </c>
    </row>
    <row r="123">
      <c r="A123" s="18" t="inlineStr">
        <is>
          <t>RRG EBITDA</t>
        </is>
      </c>
      <c r="B123" s="16" t="n"/>
      <c r="C123" s="19">
        <f>C119+C122</f>
        <v/>
      </c>
      <c r="D123" s="19">
        <f>D119+D122</f>
        <v/>
      </c>
      <c r="E123" s="19">
        <f>E119+E122</f>
        <v/>
      </c>
      <c r="F123" s="19">
        <f>F119+F122</f>
        <v/>
      </c>
      <c r="G123" s="19">
        <f>G119+G122</f>
        <v/>
      </c>
    </row>
    <row r="124">
      <c r="A124" s="13" t="inlineStr">
        <is>
          <t>EBITDA Margin %</t>
        </is>
      </c>
      <c r="C124" s="21">
        <f>IF(C117=0,0,C123/C117)</f>
        <v/>
      </c>
      <c r="D124" s="21">
        <f>IF(D117=0,0,D123/D117)</f>
        <v/>
      </c>
      <c r="E124" s="21">
        <f>IF(E117=0,0,E123/E117)</f>
        <v/>
      </c>
      <c r="F124" s="21">
        <f>IF(F117=0,0,F123/F117)</f>
        <v/>
      </c>
      <c r="G124" s="21">
        <f>IF(G117=0,0,G123/G117)</f>
        <v/>
      </c>
    </row>
    <row r="127">
      <c r="A127" s="3" t="inlineStr">
        <is>
          <t>COMBINED GROUP P&amp;L</t>
        </is>
      </c>
      <c r="B127" s="4" t="n"/>
      <c r="C127" s="4" t="n"/>
      <c r="D127" s="4" t="n"/>
      <c r="E127" s="4" t="n"/>
      <c r="F127" s="4" t="n"/>
      <c r="G127" s="4" t="n"/>
    </row>
    <row r="128">
      <c r="A128" s="5" t="inlineStr"/>
      <c r="B128" s="5" t="inlineStr"/>
      <c r="C128" s="6" t="n">
        <v>2026</v>
      </c>
      <c r="D128" s="6" t="n">
        <v>2027</v>
      </c>
      <c r="E128" s="6" t="n">
        <v>2028</v>
      </c>
      <c r="F128" s="6" t="n">
        <v>2029</v>
      </c>
      <c r="G128" s="6" t="n">
        <v>2030</v>
      </c>
    </row>
    <row r="129">
      <c r="A129" s="13" t="inlineStr">
        <is>
          <t xml:space="preserve">  Via Labs Revenue</t>
        </is>
      </c>
      <c r="C129" s="14">
        <f>C96</f>
        <v/>
      </c>
      <c r="D129" s="14">
        <f>D96</f>
        <v/>
      </c>
      <c r="E129" s="14">
        <f>E96</f>
        <v/>
      </c>
      <c r="F129" s="14">
        <f>F96</f>
        <v/>
      </c>
      <c r="G129" s="14">
        <f>G96</f>
        <v/>
      </c>
    </row>
    <row r="130">
      <c r="A130" s="13" t="inlineStr">
        <is>
          <t xml:space="preserve">  RealReal Genuine Revenue</t>
        </is>
      </c>
      <c r="C130" s="14">
        <f>C117</f>
        <v/>
      </c>
      <c r="D130" s="14">
        <f>D117</f>
        <v/>
      </c>
      <c r="E130" s="14">
        <f>E117</f>
        <v/>
      </c>
      <c r="F130" s="14">
        <f>F117</f>
        <v/>
      </c>
      <c r="G130" s="14">
        <f>G117</f>
        <v/>
      </c>
    </row>
    <row r="131">
      <c r="A131" s="22" t="inlineStr">
        <is>
          <t>COMBINED REVENUE</t>
        </is>
      </c>
      <c r="B131" s="16" t="n"/>
      <c r="C131" s="23">
        <f>C129+C130</f>
        <v/>
      </c>
      <c r="D131" s="23">
        <f>D129+D130</f>
        <v/>
      </c>
      <c r="E131" s="23">
        <f>E129+E130</f>
        <v/>
      </c>
      <c r="F131" s="23">
        <f>F129+F130</f>
        <v/>
      </c>
      <c r="G131" s="23">
        <f>G129+G130</f>
        <v/>
      </c>
    </row>
    <row r="133">
      <c r="A133" s="13" t="inlineStr">
        <is>
          <t>Via Labs % of revenue</t>
        </is>
      </c>
      <c r="C133" s="21">
        <f>IF(C131=0,0,C129/C131)</f>
        <v/>
      </c>
      <c r="D133" s="21">
        <f>IF(D131=0,0,D129/D131)</f>
        <v/>
      </c>
      <c r="E133" s="21">
        <f>IF(E131=0,0,E129/E131)</f>
        <v/>
      </c>
      <c r="F133" s="21">
        <f>IF(F131=0,0,F129/F131)</f>
        <v/>
      </c>
      <c r="G133" s="21">
        <f>IF(G131=0,0,G129/G131)</f>
        <v/>
      </c>
    </row>
    <row r="134">
      <c r="A134" s="13" t="inlineStr">
        <is>
          <t>RRG % of revenue</t>
        </is>
      </c>
      <c r="C134" s="21">
        <f>IF(C131=0,0,C130/C131)</f>
        <v/>
      </c>
      <c r="D134" s="21">
        <f>IF(D131=0,0,D130/D131)</f>
        <v/>
      </c>
      <c r="E134" s="21">
        <f>IF(E131=0,0,E130/E131)</f>
        <v/>
      </c>
      <c r="F134" s="21">
        <f>IF(F131=0,0,F130/F131)</f>
        <v/>
      </c>
      <c r="G134" s="21">
        <f>IF(G131=0,0,G130/G131)</f>
        <v/>
      </c>
    </row>
    <row r="136">
      <c r="A136" s="13" t="inlineStr">
        <is>
          <t>Combined Cost of Revenue</t>
        </is>
      </c>
      <c r="C136" s="14">
        <f>C97+C118</f>
        <v/>
      </c>
      <c r="D136" s="14">
        <f>D97+D118</f>
        <v/>
      </c>
      <c r="E136" s="14">
        <f>E97+E118</f>
        <v/>
      </c>
      <c r="F136" s="14">
        <f>F97+F118</f>
        <v/>
      </c>
      <c r="G136" s="14">
        <f>G97+G118</f>
        <v/>
      </c>
    </row>
    <row r="137">
      <c r="A137" s="10" t="inlineStr">
        <is>
          <t>Combined Gross Profit</t>
        </is>
      </c>
      <c r="C137" s="20">
        <f>C98+C119</f>
        <v/>
      </c>
      <c r="D137" s="20">
        <f>D98+D119</f>
        <v/>
      </c>
      <c r="E137" s="20">
        <f>E98+E119</f>
        <v/>
      </c>
      <c r="F137" s="20">
        <f>F98+F119</f>
        <v/>
      </c>
      <c r="G137" s="20">
        <f>G98+G119</f>
        <v/>
      </c>
    </row>
    <row r="138">
      <c r="A138" s="13" t="inlineStr">
        <is>
          <t>Gross Margin %</t>
        </is>
      </c>
      <c r="C138" s="21">
        <f>IF(C131=0,0,C137/C131)</f>
        <v/>
      </c>
      <c r="D138" s="21">
        <f>IF(D131=0,0,D137/D131)</f>
        <v/>
      </c>
      <c r="E138" s="21">
        <f>IF(E131=0,0,E137/E131)</f>
        <v/>
      </c>
      <c r="F138" s="21">
        <f>IF(F131=0,0,F137/F131)</f>
        <v/>
      </c>
      <c r="G138" s="21">
        <f>IF(G131=0,0,G137/G131)</f>
        <v/>
      </c>
    </row>
    <row r="140">
      <c r="A140" s="10" t="inlineStr">
        <is>
          <t>Combined Operating Expenses</t>
        </is>
      </c>
      <c r="C140" s="20">
        <f>C101+C122</f>
        <v/>
      </c>
      <c r="D140" s="20">
        <f>D101+D122</f>
        <v/>
      </c>
      <c r="E140" s="20">
        <f>E101+E122</f>
        <v/>
      </c>
      <c r="F140" s="20">
        <f>F101+F122</f>
        <v/>
      </c>
      <c r="G140" s="20">
        <f>G101+G122</f>
        <v/>
      </c>
    </row>
    <row r="142">
      <c r="A142" s="22" t="inlineStr">
        <is>
          <t>COMBINED EBITDA</t>
        </is>
      </c>
      <c r="B142" s="16" t="n"/>
      <c r="C142" s="23">
        <f>C102+C123</f>
        <v/>
      </c>
      <c r="D142" s="23">
        <f>D102+D123</f>
        <v/>
      </c>
      <c r="E142" s="23">
        <f>E102+E123</f>
        <v/>
      </c>
      <c r="F142" s="23">
        <f>F102+F123</f>
        <v/>
      </c>
      <c r="G142" s="23">
        <f>G102+G123</f>
        <v/>
      </c>
    </row>
    <row r="143">
      <c r="A143" s="13" t="inlineStr">
        <is>
          <t>EBITDA Margin %</t>
        </is>
      </c>
      <c r="C143" s="21">
        <f>IF(C131=0,0,C142/C131)</f>
        <v/>
      </c>
      <c r="D143" s="21">
        <f>IF(D131=0,0,D142/D131)</f>
        <v/>
      </c>
      <c r="E143" s="21">
        <f>IF(E131=0,0,E142/E131)</f>
        <v/>
      </c>
      <c r="F143" s="21">
        <f>IF(F131=0,0,F142/F131)</f>
        <v/>
      </c>
      <c r="G143" s="21">
        <f>IF(G131=0,0,G142/G131)</f>
        <v/>
      </c>
    </row>
    <row r="146">
      <c r="A146" s="3" t="inlineStr">
        <is>
          <t>CASH POSITION</t>
        </is>
      </c>
      <c r="B146" s="4" t="n"/>
      <c r="C146" s="4" t="n"/>
      <c r="D146" s="4" t="n"/>
      <c r="E146" s="4" t="n"/>
      <c r="F146" s="4" t="n"/>
      <c r="G146" s="4" t="n"/>
    </row>
    <row r="147">
      <c r="A147" s="5" t="inlineStr"/>
      <c r="B147" s="5" t="inlineStr"/>
      <c r="C147" s="6" t="n">
        <v>2026</v>
      </c>
      <c r="D147" s="6" t="n">
        <v>2027</v>
      </c>
      <c r="E147" s="6" t="n">
        <v>2028</v>
      </c>
      <c r="F147" s="6" t="n">
        <v>2029</v>
      </c>
      <c r="G147" s="6" t="n">
        <v>2030</v>
      </c>
    </row>
    <row r="148">
      <c r="A148" s="18" t="inlineStr">
        <is>
          <t>Cash Balance</t>
        </is>
      </c>
      <c r="B148" s="16" t="n"/>
      <c r="C148" s="19">
        <f>C74+C142</f>
        <v/>
      </c>
      <c r="D148" s="19">
        <f>C148+D142</f>
        <v/>
      </c>
      <c r="E148" s="19">
        <f>D148+E142</f>
        <v/>
      </c>
      <c r="F148" s="19">
        <f>E148+F142</f>
        <v/>
      </c>
      <c r="G148" s="19">
        <f>F148+G142</f>
        <v/>
      </c>
    </row>
    <row r="150">
      <c r="A150" s="13" t="inlineStr">
        <is>
          <t>ARR / Raise Multiple</t>
        </is>
      </c>
      <c r="C150" s="24">
        <f>IF(C74=0,0,C131/C74)</f>
        <v/>
      </c>
      <c r="D150" s="24">
        <f>IF(C74=0,0,D131/C74)</f>
        <v/>
      </c>
      <c r="E150" s="24">
        <f>IF(C74=0,0,E131/C74)</f>
        <v/>
      </c>
      <c r="F150" s="24">
        <f>IF(C74=0,0,F131/C74)</f>
        <v/>
      </c>
      <c r="G150" s="24">
        <f>IF(C74=0,0,G131/C74)</f>
        <v/>
      </c>
    </row>
  </sheetData>
  <mergeCells count="9">
    <mergeCell ref="A1:G1"/>
    <mergeCell ref="A127:G127"/>
    <mergeCell ref="A56:G56"/>
    <mergeCell ref="A146:G146"/>
    <mergeCell ref="A106:G106"/>
    <mergeCell ref="A77:G77"/>
    <mergeCell ref="A4:G4"/>
    <mergeCell ref="A38:G38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2026-04-09T07:46:48Z</dcterms:created>
  <dcterms:modified xsi:type="dcterms:W3CDTF">2026-04-09T07:46:48Z</dcterms:modified>
</cp:coreProperties>
</file>